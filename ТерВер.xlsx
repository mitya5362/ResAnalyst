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<sst xmlns="http://schemas.openxmlformats.org/spreadsheetml/2006/main" count="67" uniqueCount="42">
  <si>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№ наблюдения</t>
  </si>
  <si>
    <t>Значение Х</t>
  </si>
  <si>
    <t>Вариационный ряд</t>
  </si>
  <si>
    <t>Нижние границы интервалов</t>
  </si>
  <si>
    <t>Верхние границы интервалов</t>
  </si>
  <si>
    <t>Частота</t>
  </si>
  <si>
    <t>Высота</t>
  </si>
  <si>
    <t>Средние значения интервалов</t>
  </si>
  <si>
    <t>Максимум</t>
  </si>
  <si>
    <t>Выборочная средняя</t>
  </si>
  <si>
    <t>Минимум</t>
  </si>
  <si>
    <t>Выборочная дисперсия</t>
  </si>
  <si>
    <t>Объем выборки</t>
  </si>
  <si>
    <t>Выброчное cреднеквадратичное отклонение</t>
  </si>
  <si>
    <t>Число интервалов</t>
  </si>
  <si>
    <t>Выборочная медиана</t>
  </si>
  <si>
    <t>Шаг разбиения</t>
  </si>
  <si>
    <t>Коэффициент вариации</t>
  </si>
  <si>
    <t>Вариационный размах</t>
  </si>
  <si>
    <t>Выборочная мода</t>
  </si>
  <si>
    <t>Вид выборки</t>
  </si>
  <si>
    <t>Номер строки с максимальной частотой</t>
  </si>
  <si>
    <t>Построение доверительного интервала</t>
  </si>
  <si>
    <t>Генеральная средняя</t>
  </si>
  <si>
    <t>Нахождение оптимального объема</t>
  </si>
  <si>
    <t>`</t>
  </si>
  <si>
    <t>Выборочное среднеквадратичное отклонение</t>
  </si>
  <si>
    <t>С повторениями</t>
  </si>
  <si>
    <t>Объём выборки</t>
  </si>
  <si>
    <t>Без повторений</t>
  </si>
  <si>
    <t>Доверительная вероятность (γ)</t>
  </si>
  <si>
    <t>Параметр t</t>
  </si>
  <si>
    <t>Генеральная доля</t>
  </si>
  <si>
    <t xml:space="preserve">Среднеквадратичное отклонение ген. сред. </t>
  </si>
  <si>
    <t>Предельная ошибка  (Δ)</t>
  </si>
  <si>
    <t xml:space="preserve">Нижняя граница </t>
  </si>
  <si>
    <t xml:space="preserve">Верхняя граница </t>
  </si>
  <si>
    <t>Объём генеральной совокупности</t>
  </si>
  <si>
    <t>Предельная ошибка (Δ)</t>
  </si>
  <si>
    <t>Выборочная доля (ω)</t>
  </si>
  <si>
    <t xml:space="preserve">Среднеквадратичное отклонение ген. доли </t>
  </si>
  <si>
    <t xml:space="preserve">Нижняя граница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</si>
</sst>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</numFmts>
  <fonts count="24">
    <font>
      <sz val="11"/>
      <color theme="1"/>
      <name val="Calibri"/>
      <charset val="204"/>
      <scheme val="minor"/>
    </font>
    <font>
      <sz val="11"/>
      <color rgb="FF000000"/>
      <name val="Calibri"/>
      <charset val="1"/>
    </font>
    <font>
      <sz val="11"/>
      <color rgb="FF000000"/>
      <name val="Calibri"/>
      <charset val="204"/>
    </font>
    <font>
      <sz val="11"/>
      <color rgb="FFFF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180" fontId="0" fillId="0" borderId="0" xfId="0" applyNumberFormat="1"/>
    <xf numFmtId="2" fontId="0" fillId="0" borderId="0" xfId="0" applyNumberFormat="1"/>
    <xf numFmtId="180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10" fontId="0" fillId="0" borderId="0" xfId="0" applyNumberFormat="1"/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180" fontId="2" fillId="0" borderId="0" xfId="0" applyNumberFormat="1" applyFont="1" applyBorder="1" applyAlignment="1"/>
    <xf numFmtId="180" fontId="2" fillId="0" borderId="0" xfId="0" applyNumberFormat="1" applyFont="1" applyBorder="1" applyAlignment="1">
      <alignment wrapText="1"/>
    </xf>
    <xf numFmtId="0" fontId="2" fillId="0" borderId="0" xfId="0" applyFont="1" applyBorder="1" applyAlignment="1"/>
    <xf numFmtId="0" fontId="2" fillId="2" borderId="0" xfId="0" applyFont="1" applyFill="1" applyBorder="1" applyAlignment="1">
      <alignment horizontal="center"/>
    </xf>
    <xf numFmtId="2" fontId="2" fillId="0" borderId="0" xfId="0" applyNumberFormat="1" applyFont="1" applyBorder="1" applyAlignment="1"/>
    <xf numFmtId="0" fontId="3" fillId="2" borderId="0" xfId="0" applyFont="1" applyFill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Гистограмма частотности</a:t>
            </a:r>
            <a:endParaRPr lang="az-Cyrl-AZ"/>
          </a:p>
        </c:rich>
      </c:tx>
      <c:layout>
        <c:manualLayout>
          <c:xMode val="edge"/>
          <c:yMode val="edge"/>
          <c:x val="0.420824795848925"/>
          <c:y val="0.0272877329448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Лист1!$F$2:$F$8</c:f>
              <c:numCache>
                <c:formatCode>0.000</c:formatCode>
                <c:ptCount val="7"/>
                <c:pt idx="0" c:formatCode="0.000">
                  <c:v>-1.70492857142857</c:v>
                </c:pt>
                <c:pt idx="1" c:formatCode="0.000">
                  <c:v>-1.12907142857143</c:v>
                </c:pt>
                <c:pt idx="2" c:formatCode="0.000">
                  <c:v>-0.553214285714286</c:v>
                </c:pt>
                <c:pt idx="3" c:formatCode="0.000">
                  <c:v>0.0226428571428572</c:v>
                </c:pt>
                <c:pt idx="4" c:formatCode="0.000">
                  <c:v>0.5985</c:v>
                </c:pt>
                <c:pt idx="5" c:formatCode="0.000">
                  <c:v>1.17435714285714</c:v>
                </c:pt>
                <c:pt idx="6" c:formatCode="0.000">
                  <c:v>1.75021428571429</c:v>
                </c:pt>
              </c:numCache>
            </c:numRef>
          </c:cat>
          <c:val>
            <c:numRef>
              <c:f>Лист1!$I$2:$I$8</c:f>
              <c:numCache>
                <c:formatCode>0.000</c:formatCode>
                <c:ptCount val="7"/>
                <c:pt idx="0">
                  <c:v>5.20962540312578</c:v>
                </c:pt>
                <c:pt idx="1">
                  <c:v>8.68270900520963</c:v>
                </c:pt>
                <c:pt idx="2">
                  <c:v>17.3654180104193</c:v>
                </c:pt>
                <c:pt idx="3">
                  <c:v>8.68270900520963</c:v>
                </c:pt>
                <c:pt idx="4">
                  <c:v>29.5212106177127</c:v>
                </c:pt>
                <c:pt idx="5">
                  <c:v>8.68270900520963</c:v>
                </c:pt>
                <c:pt idx="6">
                  <c:v>5.78847267013975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115471"/>
        <c:axId val="108108399"/>
      </c:barChart>
      <c:catAx>
        <c:axId val="108115471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108399"/>
        <c:crosses val="autoZero"/>
        <c:auto val="1"/>
        <c:lblAlgn val="ctr"/>
        <c:lblOffset val="100"/>
        <c:noMultiLvlLbl val="0"/>
      </c:catAx>
      <c:valAx>
        <c:axId val="10810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11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e86e5f2-664d-439b-bf07-a9c2f7c4a8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Гистограмма частот</a:t>
            </a:r>
            <a:endParaRPr lang="az-Cyrl-AZ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(Лист1!$F$2:$F$8,Лист1!$G$2:$G$8)</c:f>
              <c:numCache>
                <c:formatCode>0.000</c:formatCode>
                <c:ptCount val="14"/>
                <c:pt idx="0" c:formatCode="0.000">
                  <c:v>-1.70492857142857</c:v>
                </c:pt>
                <c:pt idx="1" c:formatCode="0.000">
                  <c:v>-1.12907142857143</c:v>
                </c:pt>
                <c:pt idx="2" c:formatCode="0.000">
                  <c:v>-0.553214285714286</c:v>
                </c:pt>
                <c:pt idx="3" c:formatCode="0.000">
                  <c:v>0.0226428571428572</c:v>
                </c:pt>
                <c:pt idx="4" c:formatCode="0.000">
                  <c:v>0.5985</c:v>
                </c:pt>
                <c:pt idx="5" c:formatCode="0.000">
                  <c:v>1.17435714285714</c:v>
                </c:pt>
                <c:pt idx="6" c:formatCode="0.000">
                  <c:v>1.75021428571429</c:v>
                </c:pt>
                <c:pt idx="7" c:formatCode="0.000">
                  <c:v>-1.12907142857143</c:v>
                </c:pt>
                <c:pt idx="8" c:formatCode="0.000">
                  <c:v>-0.553214285714286</c:v>
                </c:pt>
                <c:pt idx="9" c:formatCode="0.000">
                  <c:v>0.0226428571428572</c:v>
                </c:pt>
                <c:pt idx="10" c:formatCode="0.000">
                  <c:v>0.5985</c:v>
                </c:pt>
                <c:pt idx="11" c:formatCode="0.000">
                  <c:v>1.17435714285714</c:v>
                </c:pt>
                <c:pt idx="12" c:formatCode="0.000">
                  <c:v>1.75021428571429</c:v>
                </c:pt>
                <c:pt idx="13" c:formatCode="0.000">
                  <c:v>2.614</c:v>
                </c:pt>
              </c:numCache>
            </c:numRef>
          </c:cat>
          <c:val>
            <c:numRef>
              <c:f>Лист1!$H$2:$H$8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  <c:pt idx="4">
                  <c:v>17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111048"/>
        <c:axId val="1785113096"/>
      </c:barChart>
      <c:catAx>
        <c:axId val="178511104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5113096"/>
        <c:crosses val="autoZero"/>
        <c:auto val="1"/>
        <c:lblAlgn val="ctr"/>
        <c:lblOffset val="100"/>
        <c:noMultiLvlLbl val="0"/>
      </c:catAx>
      <c:valAx>
        <c:axId val="17851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5111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f69abf-8eee-4605-ae21-36019275cd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809625</xdr:colOff>
      <xdr:row>9</xdr:row>
      <xdr:rowOff>19050</xdr:rowOff>
    </xdr:from>
    <xdr:to>
      <xdr:col>9</xdr:col>
      <xdr:colOff>219075</xdr:colOff>
      <xdr:row>33</xdr:row>
      <xdr:rowOff>9525</xdr:rowOff>
    </xdr:to>
    <xdr:graphicFrame>
      <xdr:nvGraphicFramePr>
        <xdr:cNvPr id="7" name="Диаграмма 6"/>
        <xdr:cNvGraphicFramePr/>
      </xdr:nvGraphicFramePr>
      <xdr:xfrm>
        <a:off x="4150360" y="1733550"/>
        <a:ext cx="6645910" cy="4562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762000</xdr:colOff>
      <xdr:row>33</xdr:row>
      <xdr:rowOff>114300</xdr:rowOff>
    </xdr:from>
    <xdr:to>
      <xdr:col>9</xdr:col>
      <xdr:colOff>133350</xdr:colOff>
      <xdr:row>57</xdr:row>
      <xdr:rowOff>114300</xdr:rowOff>
    </xdr:to>
    <xdr:graphicFrame>
      <xdr:nvGraphicFramePr>
        <xdr:cNvPr id="2" name="Диаграмма 1"/>
        <xdr:cNvGraphicFramePr/>
      </xdr:nvGraphicFramePr>
      <xdr:xfrm>
        <a:off x="4102735" y="6400800"/>
        <a:ext cx="6607810" cy="457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zoomScale="72" zoomScaleNormal="72" workbookViewId="0">
      <selection activeCell="O18" sqref="O18:P18"/>
    </sheetView>
  </sheetViews>
  <sheetFormatPr defaultColWidth="9" defaultRowHeight="15" customHeight="1"/>
  <cols>
    <col min="1" max="1" width="17.7079646017699" customWidth="1"/>
    <col min="2" max="2" width="11.141592920354" customWidth="1"/>
    <col min="3" max="3" width="17.7079646017699" customWidth="1"/>
    <col min="4" max="4" width="19.283185840708" customWidth="1"/>
    <col min="6" max="6" width="26.283185840708" style="1" customWidth="1"/>
    <col min="7" max="7" width="26.141592920354" style="1" customWidth="1"/>
    <col min="9" max="9" width="11.141592920354" style="1" customWidth="1"/>
    <col min="10" max="10" width="27.283185840708" customWidth="1"/>
    <col min="11" max="11" width="42.858407079646" customWidth="1"/>
    <col min="12" max="12" width="16.141592920354" customWidth="1"/>
    <col min="15" max="15" width="36.5663716814159" customWidth="1"/>
  </cols>
  <sheetData>
    <row r="1" customHeight="1" spans="1:10">
      <c r="A1" t="s">
        <v>0</v>
      </c>
      <c r="B1" s="2" t="s">
        <v>1</v>
      </c>
      <c r="C1" t="s">
        <v>2</v>
      </c>
      <c r="F1" s="3" t="s">
        <v>3</v>
      </c>
      <c r="G1" s="1" t="s">
        <v>4</v>
      </c>
      <c r="H1" t="s">
        <v>5</v>
      </c>
      <c r="I1" s="1" t="s">
        <v>6</v>
      </c>
      <c r="J1" s="1" t="s">
        <v>7</v>
      </c>
    </row>
    <row r="2" customHeight="1" spans="1:14">
      <c r="A2">
        <v>1</v>
      </c>
      <c r="B2" s="4">
        <v>0.938</v>
      </c>
      <c r="C2" s="4">
        <v>0.938</v>
      </c>
      <c r="D2" t="s">
        <v>8</v>
      </c>
      <c r="E2">
        <f>MAX(C2:C51)</f>
        <v>2.614</v>
      </c>
      <c r="F2" s="1">
        <f>E3-E6/2</f>
        <v>-1.70492857142857</v>
      </c>
      <c r="G2" s="1">
        <f>F2+E6</f>
        <v>-1.12907142857143</v>
      </c>
      <c r="H2">
        <f t="array" ref="H2:H8">FREQUENCY(B2:B51,G2:G8)</f>
        <v>3</v>
      </c>
      <c r="I2" s="1">
        <f>H2/(G2-F2)</f>
        <v>5.20962540312578</v>
      </c>
      <c r="J2">
        <f>(F2+G2)/2</f>
        <v>-1.417</v>
      </c>
      <c r="K2" t="s">
        <v>9</v>
      </c>
      <c r="L2" s="1">
        <f>AVERAGE(B2:B51)</f>
        <v>0.47466</v>
      </c>
      <c r="N2" s="1"/>
    </row>
    <row r="3" customHeight="1" spans="1:14">
      <c r="A3">
        <v>2</v>
      </c>
      <c r="B3" s="4">
        <v>2.26</v>
      </c>
      <c r="C3" s="4">
        <v>2.26</v>
      </c>
      <c r="D3" t="s">
        <v>10</v>
      </c>
      <c r="E3">
        <f>MIN(C2:C51)</f>
        <v>-1.417</v>
      </c>
      <c r="F3" s="1">
        <f>F2+E6</f>
        <v>-1.12907142857143</v>
      </c>
      <c r="G3" s="1">
        <f>G2+E6</f>
        <v>-0.553214285714286</v>
      </c>
      <c r="H3">
        <v>5</v>
      </c>
      <c r="I3" s="1">
        <f t="shared" ref="I3:I8" si="0">H3/(G3-F3)</f>
        <v>8.68270900520963</v>
      </c>
      <c r="J3">
        <f t="shared" ref="J3:J8" si="1">(F3+G3)/2</f>
        <v>-0.841142857142857</v>
      </c>
      <c r="K3" t="s">
        <v>11</v>
      </c>
      <c r="L3" s="1">
        <f>_xlfn.VAR.S(B2:B51)</f>
        <v>0.966068351428571</v>
      </c>
      <c r="N3" s="1"/>
    </row>
    <row r="4" customHeight="1" spans="1:14">
      <c r="A4">
        <v>3</v>
      </c>
      <c r="B4" s="4">
        <v>-0.147</v>
      </c>
      <c r="C4" s="4">
        <v>-0.147</v>
      </c>
      <c r="D4" t="s">
        <v>12</v>
      </c>
      <c r="E4">
        <f>COUNT(B2:B51)</f>
        <v>50</v>
      </c>
      <c r="F4" s="1">
        <f>F3+E6</f>
        <v>-0.553214285714286</v>
      </c>
      <c r="G4" s="1">
        <f>G3+E6</f>
        <v>0.0226428571428572</v>
      </c>
      <c r="H4">
        <v>10</v>
      </c>
      <c r="I4" s="1">
        <f t="shared" si="0"/>
        <v>17.3654180104193</v>
      </c>
      <c r="J4">
        <f t="shared" si="1"/>
        <v>-0.265285714285714</v>
      </c>
      <c r="K4" t="s">
        <v>13</v>
      </c>
      <c r="L4" s="1">
        <f>SQRT(L3)</f>
        <v>0.982887761358626</v>
      </c>
      <c r="N4" s="1"/>
    </row>
    <row r="5" customHeight="1" spans="1:14">
      <c r="A5">
        <v>4</v>
      </c>
      <c r="B5" s="4">
        <v>1.051</v>
      </c>
      <c r="C5" s="4">
        <v>1.051</v>
      </c>
      <c r="D5" t="s">
        <v>14</v>
      </c>
      <c r="E5">
        <f>ROUNDUP(1+3.3221*LOG10(E4),0)</f>
        <v>7</v>
      </c>
      <c r="F5" s="1">
        <f>F4+E6</f>
        <v>0.0226428571428572</v>
      </c>
      <c r="G5" s="1">
        <f>G4+E6</f>
        <v>0.5985</v>
      </c>
      <c r="H5">
        <v>5</v>
      </c>
      <c r="I5" s="1">
        <f t="shared" si="0"/>
        <v>8.68270900520963</v>
      </c>
      <c r="J5" s="2">
        <f t="shared" si="1"/>
        <v>0.310571428571429</v>
      </c>
      <c r="K5" t="s">
        <v>15</v>
      </c>
      <c r="L5" s="1">
        <f>MEDIAN(B2:B51)</f>
        <v>0.691</v>
      </c>
      <c r="N5" s="1"/>
    </row>
    <row r="6" customHeight="1" spans="1:14">
      <c r="A6">
        <v>5</v>
      </c>
      <c r="B6" s="4">
        <v>2.046</v>
      </c>
      <c r="C6" s="4">
        <v>2.046</v>
      </c>
      <c r="D6" t="s">
        <v>16</v>
      </c>
      <c r="E6" s="1">
        <f>(E2-E3)/E5</f>
        <v>0.575857142857143</v>
      </c>
      <c r="F6" s="1">
        <f>F5+E6</f>
        <v>0.5985</v>
      </c>
      <c r="G6" s="1">
        <f>G5+E6</f>
        <v>1.17435714285714</v>
      </c>
      <c r="H6">
        <v>17</v>
      </c>
      <c r="I6" s="1">
        <f t="shared" si="0"/>
        <v>29.5212106177127</v>
      </c>
      <c r="J6">
        <f t="shared" si="1"/>
        <v>0.886428571428571</v>
      </c>
      <c r="K6" t="s">
        <v>17</v>
      </c>
      <c r="L6" s="6">
        <f>L4/ABS(L2)</f>
        <v>2.07071959162058</v>
      </c>
      <c r="N6" s="1"/>
    </row>
    <row r="7" customHeight="1" spans="1:14">
      <c r="A7">
        <v>6</v>
      </c>
      <c r="B7" s="4">
        <v>-1.322</v>
      </c>
      <c r="C7" s="4">
        <v>-1.322</v>
      </c>
      <c r="F7" s="1">
        <f>F6+E6</f>
        <v>1.17435714285714</v>
      </c>
      <c r="G7" s="1">
        <f>G6+E6</f>
        <v>1.75021428571429</v>
      </c>
      <c r="H7">
        <v>5</v>
      </c>
      <c r="I7" s="1">
        <f t="shared" si="0"/>
        <v>8.68270900520963</v>
      </c>
      <c r="J7">
        <f t="shared" si="1"/>
        <v>1.46228571428571</v>
      </c>
      <c r="K7" t="s">
        <v>18</v>
      </c>
      <c r="L7">
        <f>E2-E3</f>
        <v>4.031</v>
      </c>
      <c r="N7" s="1"/>
    </row>
    <row r="8" customHeight="1" spans="1:14">
      <c r="A8">
        <v>7</v>
      </c>
      <c r="B8" s="4">
        <v>1.808</v>
      </c>
      <c r="C8" s="4">
        <v>1.808</v>
      </c>
      <c r="F8" s="1">
        <f>F7+E6</f>
        <v>1.75021428571429</v>
      </c>
      <c r="G8" s="1">
        <f>E2</f>
        <v>2.614</v>
      </c>
      <c r="H8">
        <v>5</v>
      </c>
      <c r="I8" s="1">
        <f t="shared" si="0"/>
        <v>5.78847267013975</v>
      </c>
      <c r="J8">
        <f t="shared" si="1"/>
        <v>2.18210714285714</v>
      </c>
      <c r="K8" s="4" t="s">
        <v>19</v>
      </c>
      <c r="L8" s="1">
        <f>INDEX(J2:J8,L10)</f>
        <v>0.886428571428571</v>
      </c>
      <c r="N8" s="1"/>
    </row>
    <row r="9" customHeight="1" spans="1:14">
      <c r="A9">
        <v>8</v>
      </c>
      <c r="B9" s="4">
        <v>-0.549</v>
      </c>
      <c r="C9" s="4">
        <v>-0.549</v>
      </c>
      <c r="D9" s="5"/>
      <c r="H9">
        <f>SUM(H2:H8)</f>
        <v>50</v>
      </c>
      <c r="K9" s="4" t="s">
        <v>20</v>
      </c>
      <c r="L9" s="3" t="str">
        <f>IF(L6&gt;33%,"неоднородная","однородная")</f>
        <v>неоднородная</v>
      </c>
      <c r="N9" s="1"/>
    </row>
    <row r="10" customHeight="1" spans="1:14">
      <c r="A10">
        <v>9</v>
      </c>
      <c r="B10" s="4">
        <v>0.959</v>
      </c>
      <c r="C10" s="4">
        <v>0.959</v>
      </c>
      <c r="D10" s="5"/>
      <c r="K10" t="s">
        <v>21</v>
      </c>
      <c r="L10">
        <f>MATCH(MAX(J2:J8),J2:J8)-2</f>
        <v>5</v>
      </c>
      <c r="N10" s="1"/>
    </row>
    <row r="11" customHeight="1" spans="1:14">
      <c r="A11">
        <v>10</v>
      </c>
      <c r="B11" s="4">
        <v>-0.552</v>
      </c>
      <c r="C11" s="4">
        <v>-0.552</v>
      </c>
      <c r="D11" s="5"/>
      <c r="N11" s="1"/>
    </row>
    <row r="12" customHeight="1" spans="1:14">
      <c r="A12">
        <v>11</v>
      </c>
      <c r="B12" s="4">
        <v>-0.742</v>
      </c>
      <c r="C12" s="4">
        <v>-0.742</v>
      </c>
      <c r="D12" s="5"/>
      <c r="N12" s="1"/>
    </row>
    <row r="13" customHeight="1" spans="1:14">
      <c r="A13">
        <v>12</v>
      </c>
      <c r="B13" s="4">
        <v>0.924</v>
      </c>
      <c r="C13" s="4">
        <v>0.924</v>
      </c>
      <c r="D13" s="5"/>
      <c r="L13" s="5"/>
      <c r="N13" s="1"/>
    </row>
    <row r="14" customHeight="1" spans="1:14">
      <c r="A14">
        <v>13</v>
      </c>
      <c r="B14" s="4">
        <v>-1.417</v>
      </c>
      <c r="C14" s="4">
        <v>-1.417</v>
      </c>
      <c r="D14" s="5"/>
      <c r="N14" s="1"/>
    </row>
    <row r="15" customHeight="1" spans="1:14">
      <c r="A15">
        <v>14</v>
      </c>
      <c r="B15" s="4">
        <v>0.376</v>
      </c>
      <c r="C15" s="4">
        <v>0.376</v>
      </c>
      <c r="N15" s="1"/>
    </row>
    <row r="16" customHeight="1" spans="1:14">
      <c r="A16">
        <v>15</v>
      </c>
      <c r="B16" s="4">
        <v>0.913</v>
      </c>
      <c r="C16" s="4">
        <v>0.913</v>
      </c>
      <c r="D16" s="5"/>
      <c r="K16" s="7" t="s">
        <v>22</v>
      </c>
      <c r="L16" s="7"/>
      <c r="N16" s="1"/>
    </row>
    <row r="17" customHeight="1" spans="1:16">
      <c r="A17">
        <v>16</v>
      </c>
      <c r="B17" s="4">
        <v>1.966</v>
      </c>
      <c r="C17" s="4">
        <v>1.966</v>
      </c>
      <c r="D17" s="5"/>
      <c r="K17" s="7" t="s">
        <v>23</v>
      </c>
      <c r="L17" s="7"/>
      <c r="N17" s="1"/>
      <c r="O17" s="8" t="s">
        <v>24</v>
      </c>
      <c r="P17" s="8"/>
    </row>
    <row r="18" customHeight="1" spans="1:16">
      <c r="A18">
        <v>17</v>
      </c>
      <c r="B18" s="4">
        <v>-0.729</v>
      </c>
      <c r="C18" s="4">
        <v>-0.729</v>
      </c>
      <c r="K18" s="9" t="s">
        <v>9</v>
      </c>
      <c r="L18" s="10">
        <f>L2</f>
        <v>0.47466</v>
      </c>
      <c r="N18" s="1"/>
      <c r="O18" s="8" t="s">
        <v>23</v>
      </c>
      <c r="P18" s="8"/>
    </row>
    <row r="19" customHeight="1" spans="1:16">
      <c r="A19">
        <v>18</v>
      </c>
      <c r="B19" s="4">
        <v>0.115</v>
      </c>
      <c r="C19" s="4">
        <v>0.115</v>
      </c>
      <c r="J19" t="s">
        <v>25</v>
      </c>
      <c r="K19" s="9" t="s">
        <v>26</v>
      </c>
      <c r="L19" s="10">
        <f>L4</f>
        <v>0.982887761358626</v>
      </c>
      <c r="N19" s="1"/>
      <c r="O19" s="11" t="s">
        <v>27</v>
      </c>
      <c r="P19" s="10">
        <f>L23*L23*L19*L19/(L25*L25)</f>
        <v>50</v>
      </c>
    </row>
    <row r="20" customHeight="1" spans="1:16">
      <c r="A20">
        <v>19</v>
      </c>
      <c r="B20" s="4">
        <v>0.976</v>
      </c>
      <c r="C20" s="4">
        <v>0.976</v>
      </c>
      <c r="K20" s="12" t="s">
        <v>28</v>
      </c>
      <c r="L20" s="10">
        <v>50</v>
      </c>
      <c r="N20" s="1"/>
      <c r="O20" s="9" t="s">
        <v>29</v>
      </c>
      <c r="P20" s="10">
        <f>L29*L31*L31*L19*L19/(L31*L31*L19*L19+L29*L32*L32)</f>
        <v>50</v>
      </c>
    </row>
    <row r="21" customHeight="1" spans="1:16">
      <c r="A21">
        <v>20</v>
      </c>
      <c r="B21" s="4">
        <v>0.686</v>
      </c>
      <c r="C21" s="4">
        <v>0.686</v>
      </c>
      <c r="K21" s="12" t="s">
        <v>30</v>
      </c>
      <c r="L21" s="12">
        <v>0.95</v>
      </c>
      <c r="N21" s="1"/>
      <c r="O21" s="9"/>
      <c r="P21" s="12"/>
    </row>
    <row r="22" customHeight="1" spans="1:16">
      <c r="A22">
        <v>21</v>
      </c>
      <c r="B22" s="4">
        <v>0.696</v>
      </c>
      <c r="C22" s="4">
        <v>0.696</v>
      </c>
      <c r="K22" s="13" t="s">
        <v>27</v>
      </c>
      <c r="L22" s="13"/>
      <c r="N22" s="1"/>
      <c r="O22" s="9"/>
      <c r="P22" s="12"/>
    </row>
    <row r="23" customHeight="1" spans="1:16">
      <c r="A23">
        <v>22</v>
      </c>
      <c r="B23" s="4">
        <v>1.021</v>
      </c>
      <c r="C23" s="4">
        <v>1.021</v>
      </c>
      <c r="K23" s="12" t="s">
        <v>31</v>
      </c>
      <c r="L23" s="10">
        <f>_xlfn.NORM.INV(L21/2+0.5,0,1)</f>
        <v>1.95996398454005</v>
      </c>
      <c r="N23" s="1"/>
      <c r="O23" s="8" t="s">
        <v>32</v>
      </c>
      <c r="P23" s="8"/>
    </row>
    <row r="24" customHeight="1" spans="1:16">
      <c r="A24">
        <v>23</v>
      </c>
      <c r="B24" s="4">
        <v>1.323</v>
      </c>
      <c r="C24" s="4">
        <v>1.323</v>
      </c>
      <c r="K24" s="12" t="s">
        <v>33</v>
      </c>
      <c r="L24" s="10">
        <f>SQRT(L19*L19/L20)</f>
        <v>0.13900132024039</v>
      </c>
      <c r="N24" s="1"/>
      <c r="O24" s="9" t="s">
        <v>27</v>
      </c>
      <c r="P24" s="14">
        <f>L42*L42*L37*(1-L37)/(L43*L43)</f>
        <v>50</v>
      </c>
    </row>
    <row r="25" customHeight="1" spans="1:16">
      <c r="A25">
        <v>24</v>
      </c>
      <c r="B25" s="4">
        <v>1.431</v>
      </c>
      <c r="C25" s="4">
        <v>1.431</v>
      </c>
      <c r="K25" s="12" t="s">
        <v>34</v>
      </c>
      <c r="L25" s="10">
        <f>L23*L24</f>
        <v>0.272437581474682</v>
      </c>
      <c r="N25" s="1"/>
      <c r="O25" s="11" t="s">
        <v>29</v>
      </c>
      <c r="P25" s="14">
        <f>L49*L49*L48*L37*(1-L37)/(L48*L50*L50+L49*L49*L37*(1-L37))</f>
        <v>50</v>
      </c>
    </row>
    <row r="26" customHeight="1" spans="1:16">
      <c r="A26">
        <v>25</v>
      </c>
      <c r="B26" s="4">
        <v>1.397</v>
      </c>
      <c r="C26" s="4">
        <v>1.397</v>
      </c>
      <c r="K26" s="12" t="s">
        <v>35</v>
      </c>
      <c r="L26" s="10">
        <f>L18-L25</f>
        <v>0.202222418525318</v>
      </c>
      <c r="N26" s="1"/>
      <c r="O26" s="9"/>
      <c r="P26" s="12"/>
    </row>
    <row r="27" customHeight="1" spans="1:16">
      <c r="A27">
        <v>26</v>
      </c>
      <c r="B27" s="4">
        <v>0.76</v>
      </c>
      <c r="C27" s="4">
        <v>0.76</v>
      </c>
      <c r="K27" s="12" t="s">
        <v>36</v>
      </c>
      <c r="L27" s="10">
        <f>L18+L25</f>
        <v>0.747097581474683</v>
      </c>
      <c r="N27" s="1"/>
      <c r="O27" s="11"/>
      <c r="P27" s="12"/>
    </row>
    <row r="28" customHeight="1" spans="1:16">
      <c r="A28">
        <v>27</v>
      </c>
      <c r="B28" s="4">
        <v>-0.193</v>
      </c>
      <c r="C28" s="4">
        <v>-0.193</v>
      </c>
      <c r="K28" s="13" t="s">
        <v>29</v>
      </c>
      <c r="L28" s="13"/>
      <c r="N28" s="1"/>
      <c r="O28" s="9"/>
      <c r="P28" s="12"/>
    </row>
    <row r="29" customHeight="1" spans="1:16">
      <c r="A29">
        <v>28</v>
      </c>
      <c r="B29" s="4">
        <v>0.966</v>
      </c>
      <c r="C29" s="4">
        <v>0.966</v>
      </c>
      <c r="K29" s="12" t="s">
        <v>37</v>
      </c>
      <c r="L29" s="12">
        <v>100</v>
      </c>
      <c r="N29" s="1"/>
      <c r="O29" s="15"/>
      <c r="P29" s="15"/>
    </row>
    <row r="30" customHeight="1" spans="1:16">
      <c r="A30">
        <v>29</v>
      </c>
      <c r="B30" s="4">
        <v>0.349</v>
      </c>
      <c r="C30" s="4">
        <v>0.349</v>
      </c>
      <c r="K30" s="12" t="s">
        <v>33</v>
      </c>
      <c r="L30" s="10">
        <f>SQRT(L19*L19/L20*(1-L20/L29))</f>
        <v>0.0982887761358626</v>
      </c>
      <c r="N30" s="1"/>
      <c r="O30" s="9"/>
      <c r="P30" s="12"/>
    </row>
    <row r="31" customHeight="1" spans="1:16">
      <c r="A31">
        <v>30</v>
      </c>
      <c r="B31" s="4">
        <v>-0.363</v>
      </c>
      <c r="C31" s="4">
        <v>-0.363</v>
      </c>
      <c r="K31" s="12" t="s">
        <v>31</v>
      </c>
      <c r="L31" s="10">
        <f>_xlfn.NORM.INV(L21/2+0.5,0,1)</f>
        <v>1.95996398454005</v>
      </c>
      <c r="N31" s="1"/>
      <c r="O31" s="9"/>
      <c r="P31" s="12"/>
    </row>
    <row r="32" customHeight="1" spans="1:16">
      <c r="A32">
        <v>31</v>
      </c>
      <c r="B32" s="4">
        <v>2.614</v>
      </c>
      <c r="C32" s="4">
        <v>2.614</v>
      </c>
      <c r="K32" s="12" t="s">
        <v>38</v>
      </c>
      <c r="L32" s="10">
        <f>L31*L30</f>
        <v>0.192642461310811</v>
      </c>
      <c r="N32" s="1"/>
      <c r="O32" s="9"/>
      <c r="P32" s="12"/>
    </row>
    <row r="33" customHeight="1" spans="1:16">
      <c r="A33">
        <v>32</v>
      </c>
      <c r="B33" s="4">
        <v>-0.736</v>
      </c>
      <c r="C33" s="4">
        <v>-0.736</v>
      </c>
      <c r="K33" s="12" t="s">
        <v>35</v>
      </c>
      <c r="L33" s="10">
        <f>L18-L32</f>
        <v>0.28201753868919</v>
      </c>
      <c r="N33" s="1"/>
      <c r="O33" s="9"/>
      <c r="P33" s="12"/>
    </row>
    <row r="34" customHeight="1" spans="1:16">
      <c r="A34">
        <v>33</v>
      </c>
      <c r="B34" s="4">
        <v>-1.194</v>
      </c>
      <c r="C34" s="4">
        <v>-1.194</v>
      </c>
      <c r="K34" s="12" t="s">
        <v>36</v>
      </c>
      <c r="L34" s="10">
        <f>L18+L32</f>
        <v>0.667302461310811</v>
      </c>
      <c r="N34" s="1"/>
      <c r="O34" s="9"/>
      <c r="P34" s="12"/>
    </row>
    <row r="35" customHeight="1" spans="1:16">
      <c r="A35">
        <v>34</v>
      </c>
      <c r="B35" s="4">
        <v>0.886</v>
      </c>
      <c r="C35" s="4">
        <v>0.886</v>
      </c>
      <c r="K35" s="13" t="s">
        <v>32</v>
      </c>
      <c r="L35" s="13"/>
      <c r="N35" s="1"/>
      <c r="O35" s="9"/>
      <c r="P35" s="12"/>
    </row>
    <row r="36" customHeight="1" spans="1:16">
      <c r="A36">
        <v>35</v>
      </c>
      <c r="B36" s="4">
        <v>-0.929</v>
      </c>
      <c r="C36" s="4">
        <v>-0.929</v>
      </c>
      <c r="K36" s="12" t="s">
        <v>19</v>
      </c>
      <c r="L36" s="10">
        <f>L8</f>
        <v>0.886428571428571</v>
      </c>
      <c r="N36" s="1"/>
      <c r="O36" s="15"/>
      <c r="P36" s="15"/>
    </row>
    <row r="37" customHeight="1" spans="1:16">
      <c r="A37">
        <v>36</v>
      </c>
      <c r="B37" s="4">
        <v>0.089</v>
      </c>
      <c r="C37" s="4">
        <v>0.089</v>
      </c>
      <c r="K37" s="14" t="s">
        <v>39</v>
      </c>
      <c r="L37" s="10">
        <f>COUNTIF(C2:C51,"&gt;"&amp;L36)/L38</f>
        <v>0.44</v>
      </c>
      <c r="N37" s="1"/>
      <c r="O37" s="9"/>
      <c r="P37" s="12"/>
    </row>
    <row r="38" customHeight="1" spans="1:16">
      <c r="A38">
        <v>37</v>
      </c>
      <c r="B38" s="4">
        <v>1.374</v>
      </c>
      <c r="C38" s="4">
        <v>1.374</v>
      </c>
      <c r="K38" s="12" t="s">
        <v>28</v>
      </c>
      <c r="L38" s="12">
        <v>50</v>
      </c>
      <c r="N38" s="1"/>
      <c r="O38" s="9"/>
      <c r="P38" s="12"/>
    </row>
    <row r="39" customHeight="1" spans="1:16">
      <c r="A39">
        <v>38</v>
      </c>
      <c r="B39" s="4">
        <v>-0.069</v>
      </c>
      <c r="C39" s="4">
        <v>-0.069</v>
      </c>
      <c r="K39" s="12" t="s">
        <v>30</v>
      </c>
      <c r="L39" s="12">
        <v>0.95</v>
      </c>
      <c r="N39" s="1"/>
      <c r="O39" s="9"/>
      <c r="P39" s="12"/>
    </row>
    <row r="40" customHeight="1" spans="1:16">
      <c r="A40">
        <v>39</v>
      </c>
      <c r="B40" s="4">
        <v>-0.41</v>
      </c>
      <c r="C40" s="4">
        <v>-0.41</v>
      </c>
      <c r="K40" s="13" t="s">
        <v>27</v>
      </c>
      <c r="L40" s="13"/>
      <c r="N40" s="1"/>
      <c r="O40" s="9"/>
      <c r="P40" s="12"/>
    </row>
    <row r="41" customHeight="1" spans="1:16">
      <c r="A41">
        <v>40</v>
      </c>
      <c r="B41" s="4">
        <v>-0.368</v>
      </c>
      <c r="C41" s="4">
        <v>-0.368</v>
      </c>
      <c r="K41" s="12" t="s">
        <v>40</v>
      </c>
      <c r="L41" s="10">
        <f>SQRT((L37*(1-L37)/L38))</f>
        <v>0.070199715099137</v>
      </c>
      <c r="N41" s="1"/>
      <c r="O41" s="8"/>
      <c r="P41" s="8"/>
    </row>
    <row r="42" customHeight="1" spans="1:16">
      <c r="A42">
        <v>41</v>
      </c>
      <c r="B42" s="4">
        <v>1.597</v>
      </c>
      <c r="C42" s="4">
        <v>1.597</v>
      </c>
      <c r="K42" s="12" t="s">
        <v>31</v>
      </c>
      <c r="L42" s="10">
        <f>_xlfn.NORM.INV(L21/2+0.5,0,1)</f>
        <v>1.95996398454005</v>
      </c>
      <c r="N42" s="1"/>
      <c r="O42" s="9"/>
      <c r="P42" s="12"/>
    </row>
    <row r="43" customHeight="1" spans="1:16">
      <c r="A43">
        <v>42</v>
      </c>
      <c r="B43" s="4">
        <v>-0.523</v>
      </c>
      <c r="C43" s="4">
        <v>-0.523</v>
      </c>
      <c r="K43" s="12" t="s">
        <v>38</v>
      </c>
      <c r="L43" s="10">
        <f>L42*L41</f>
        <v>0.137588913319281</v>
      </c>
      <c r="N43" s="1"/>
      <c r="O43" s="9"/>
      <c r="P43" s="12"/>
    </row>
    <row r="44" customHeight="1" spans="1:16">
      <c r="A44">
        <v>43</v>
      </c>
      <c r="B44" s="4">
        <v>-0.752</v>
      </c>
      <c r="C44" s="4">
        <v>-0.752</v>
      </c>
      <c r="K44" s="12" t="s">
        <v>35</v>
      </c>
      <c r="L44" s="10">
        <f>L37-L43</f>
        <v>0.302411086680719</v>
      </c>
      <c r="N44" s="1"/>
      <c r="O44" s="9"/>
      <c r="P44" s="12"/>
    </row>
    <row r="45" customHeight="1" spans="1:16">
      <c r="A45">
        <v>44</v>
      </c>
      <c r="B45" s="4">
        <v>1.125</v>
      </c>
      <c r="C45" s="4">
        <v>1.125</v>
      </c>
      <c r="K45" s="12" t="s">
        <v>36</v>
      </c>
      <c r="L45" s="10">
        <f>L37+L43</f>
        <v>0.577588913319281</v>
      </c>
      <c r="N45" s="1"/>
      <c r="O45" s="9"/>
      <c r="P45" s="12"/>
    </row>
    <row r="46" customHeight="1" spans="1:16">
      <c r="A46">
        <v>45</v>
      </c>
      <c r="B46" s="4">
        <v>-0.238</v>
      </c>
      <c r="C46" s="4">
        <v>-0.238</v>
      </c>
      <c r="K46" s="13" t="s">
        <v>29</v>
      </c>
      <c r="L46" s="13"/>
      <c r="N46" s="1"/>
      <c r="O46" s="9"/>
      <c r="P46" s="12"/>
    </row>
    <row r="47" customHeight="1" spans="1:16">
      <c r="A47">
        <v>46</v>
      </c>
      <c r="B47" s="4">
        <v>1.041</v>
      </c>
      <c r="C47" s="4">
        <v>1.041</v>
      </c>
      <c r="K47" s="12" t="s">
        <v>40</v>
      </c>
      <c r="L47" s="14">
        <f>SQRT((L37*(1-L37))/L38*(1-L38/L48))</f>
        <v>0.0496386945839634</v>
      </c>
      <c r="N47" s="1"/>
      <c r="O47" s="8"/>
      <c r="P47" s="8"/>
    </row>
    <row r="48" customHeight="1" spans="1:16">
      <c r="A48">
        <v>47</v>
      </c>
      <c r="B48" s="4">
        <v>1.164</v>
      </c>
      <c r="C48" s="4">
        <v>1.164</v>
      </c>
      <c r="K48" s="12" t="s">
        <v>37</v>
      </c>
      <c r="L48" s="12">
        <v>100</v>
      </c>
      <c r="N48" s="1"/>
      <c r="O48" s="9"/>
      <c r="P48" s="12"/>
    </row>
    <row r="49" customHeight="1" spans="1:16">
      <c r="A49">
        <v>48</v>
      </c>
      <c r="B49" s="4">
        <v>1.02</v>
      </c>
      <c r="C49" s="4">
        <v>1.02</v>
      </c>
      <c r="K49" s="12" t="s">
        <v>31</v>
      </c>
      <c r="L49" s="10">
        <f>_xlfn.NORM.INV(L21/2+0.5,0,1)</f>
        <v>1.95996398454005</v>
      </c>
      <c r="N49" s="1"/>
      <c r="O49" s="9"/>
      <c r="P49" s="12"/>
    </row>
    <row r="50" customHeight="1" spans="1:16">
      <c r="A50">
        <v>49</v>
      </c>
      <c r="B50" s="4">
        <v>0.646</v>
      </c>
      <c r="C50" s="4">
        <v>0.646</v>
      </c>
      <c r="K50" s="12" t="s">
        <v>38</v>
      </c>
      <c r="L50" s="10">
        <f>L47*L49</f>
        <v>0.0972900536241517</v>
      </c>
      <c r="N50" s="1"/>
      <c r="O50" s="9"/>
      <c r="P50" s="12"/>
    </row>
    <row r="51" customHeight="1" spans="1:16">
      <c r="A51">
        <v>50</v>
      </c>
      <c r="B51" s="4">
        <v>0.449</v>
      </c>
      <c r="C51" s="4">
        <v>0.449</v>
      </c>
      <c r="K51" s="12" t="s">
        <v>41</v>
      </c>
      <c r="L51" s="10">
        <f>L37-L50</f>
        <v>0.342709946375848</v>
      </c>
      <c r="N51" s="1"/>
      <c r="O51" s="9"/>
      <c r="P51" s="12"/>
    </row>
    <row r="52" customHeight="1" spans="11:16">
      <c r="K52" s="12" t="s">
        <v>36</v>
      </c>
      <c r="L52" s="10">
        <f>L37+L50</f>
        <v>0.537290053624152</v>
      </c>
      <c r="N52" s="1"/>
      <c r="O52" s="9"/>
      <c r="P52" s="12"/>
    </row>
    <row r="53" customHeight="1" spans="15:16">
      <c r="O53" s="9"/>
      <c r="P53" s="12"/>
    </row>
  </sheetData>
  <sortState ref="C2:C51">
    <sortCondition ref="C2:C51"/>
  </sortState>
  <mergeCells count="14">
    <mergeCell ref="K16:L16"/>
    <mergeCell ref="K17:L17"/>
    <mergeCell ref="O17:P17"/>
    <mergeCell ref="O18:P18"/>
    <mergeCell ref="K22:L22"/>
    <mergeCell ref="O23:P23"/>
    <mergeCell ref="K28:L28"/>
    <mergeCell ref="O29:P29"/>
    <mergeCell ref="K35:L35"/>
    <mergeCell ref="O36:P36"/>
    <mergeCell ref="K40:L40"/>
    <mergeCell ref="O41:P41"/>
    <mergeCell ref="K46:L46"/>
    <mergeCell ref="O47:P4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Гаджиев</dc:creator>
  <cp:lastModifiedBy>Дмитрий Докучае�</cp:lastModifiedBy>
  <dcterms:created xsi:type="dcterms:W3CDTF">2024-04-18T07:41:00Z</dcterms:created>
  <dcterms:modified xsi:type="dcterms:W3CDTF">2026-04-13T16:27:32Z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1E17F473026E4EEAB5C08FBFA483FC80_13</vt:lpwstr>
  </property>
  <property fmtid="{D5CDD505-2E9C-101B-9397-08002B2CF9AE}" pid="3" name="KSOProductBuildVer">
    <vt:lpwstr>1049-12.2.0.23197</vt:lpwstr>
  </property>
</Properties>
</file>